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Data" sheetId="1" r:id="rId5"/>
    <sheet state="visible" name="Pivot Table 1" sheetId="2" r:id="rId6"/>
  </sheets>
  <definedNames>
    <definedName hidden="1" localSheetId="0" name="Z_09760E48_B89D_4823_8DAE_18D57D6DC729_.wvu.FilterData">'Student Data'!$A$1:$E$16</definedName>
    <definedName name="SlicerCache_Table_1_Col_5">#N/A</definedName>
  </definedNames>
  <calcPr/>
  <customWorkbookViews>
    <customWorkbookView activeSheetId="0" maximized="1" windowHeight="0" windowWidth="0" guid="{09760E48-B89D-4823-8DAE-18D57D6DC729}" name="Filter 1"/>
  </customWorkbookViews>
  <pivotCaches>
    <pivotCache cacheId="0" r:id="rId7"/>
  </pivotCaches>
  <extLst>
    <ext uri="{46BE6895-7355-4a93-B00E-2C351335B9C9}">
      <x15:slicerCaches>
        <x14:slicerCache r:id="rId8"/>
      </x15:slicerCaches>
    </ext>
  </extLst>
</workbook>
</file>

<file path=xl/sharedStrings.xml><?xml version="1.0" encoding="utf-8"?>
<sst xmlns="http://schemas.openxmlformats.org/spreadsheetml/2006/main" count="51" uniqueCount="35">
  <si>
    <t>Student Name</t>
  </si>
  <si>
    <t>Subject</t>
  </si>
  <si>
    <t>Marks</t>
  </si>
  <si>
    <t>Results</t>
  </si>
  <si>
    <t>Grade</t>
  </si>
  <si>
    <t>John Doe</t>
  </si>
  <si>
    <t>Math</t>
  </si>
  <si>
    <t>TOTAL MARKS</t>
  </si>
  <si>
    <t>Jane Smith</t>
  </si>
  <si>
    <t>History</t>
  </si>
  <si>
    <t>HIGHEST MARK</t>
  </si>
  <si>
    <t>Michael Johnson</t>
  </si>
  <si>
    <t>Art</t>
  </si>
  <si>
    <t>LOWEST MARK</t>
  </si>
  <si>
    <t>Emily Davis</t>
  </si>
  <si>
    <t>TOTAL FAILURES</t>
  </si>
  <si>
    <t>Chris Brown</t>
  </si>
  <si>
    <t>AVERAGE MARKS</t>
  </si>
  <si>
    <t>Jessica Wilson</t>
  </si>
  <si>
    <t>Science</t>
  </si>
  <si>
    <t>TOTAL PASS</t>
  </si>
  <si>
    <t>Matthew Moore</t>
  </si>
  <si>
    <t>Amanda Taylor</t>
  </si>
  <si>
    <t>English</t>
  </si>
  <si>
    <t>David Anderson</t>
  </si>
  <si>
    <t>PASS</t>
  </si>
  <si>
    <t>Sarah Thomas</t>
  </si>
  <si>
    <t>FAIL</t>
  </si>
  <si>
    <t>James Jackson</t>
  </si>
  <si>
    <t>Ashley White</t>
  </si>
  <si>
    <t>Robert Harris</t>
  </si>
  <si>
    <t>Megan Martin</t>
  </si>
  <si>
    <t>William Thompson</t>
  </si>
  <si>
    <t>AVERAGE of Marks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</si>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</sst>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1" numFmtId="0" xfId="0" applyAlignment="1" applyBorder="1" applyFont="1">
      <alignment horizontal="left" readingOrder="0"/>
    </xf>
    <xf borderId="2" fillId="0" fontId="1" numFmtId="0" xfId="0" applyAlignment="1" applyBorder="1" applyFont="1">
      <alignment horizontal="left"/>
    </xf>
    <xf borderId="1" fillId="0" fontId="1" numFmtId="0" xfId="0" applyAlignment="1" applyBorder="1" applyFont="1">
      <alignment readingOrder="0"/>
    </xf>
    <xf borderId="1" fillId="0" fontId="1" numFmtId="0" xfId="0" applyBorder="1" applyFont="1"/>
    <xf borderId="0" fillId="0" fontId="1" numFmtId="0" xfId="0" applyAlignment="1" applyFont="1">
      <alignment readingOrder="0"/>
    </xf>
    <xf borderId="0" fillId="0" fontId="1" numFmtId="0" xfId="0" applyFont="1"/>
    <xf borderId="3" fillId="0" fontId="1" numFmtId="0" xfId="0" applyAlignment="1" applyBorder="1" applyFont="1">
      <alignment horizontal="left" readingOrder="0"/>
    </xf>
    <xf borderId="3" fillId="0" fontId="1" numFmtId="0" xfId="0" applyAlignment="1" applyBorder="1" applyFont="1">
      <alignment horizontal="left"/>
    </xf>
    <xf borderId="0" fillId="0" fontId="1" numFmtId="164" xfId="0" applyFont="1" applyNumberFormat="1"/>
  </cellXfs>
  <cellStyles count="1">
    <cellStyle xfId="0" name="Normal" builtinId="0"/>
  </cellStyles>
  <dxfs count="3">
    <dxf>
      <font/>
      <fill>
        <patternFill patternType="none"/>
      </fill>
      <border/>
    </dxf>
    <dxf>
      <font/>
      <fill>
        <patternFill patternType="solid">
          <fgColor rgb="FFB7E1CD"/>
          <bgColor rgb="FFB7E1CD"/>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6AA84F"/>
              </a:solidFill>
            </c:spPr>
          </c:dPt>
          <c:dPt>
            <c:idx val="1"/>
            <c:spPr>
              <a:solidFill>
                <a:srgbClr val="CC4125"/>
              </a:solidFill>
            </c:spPr>
          </c:dPt>
          <c:dLbls>
            <c:showLegendKey val="0"/>
            <c:showVal val="0"/>
            <c:showCatName val="0"/>
            <c:showSerName val="0"/>
            <c:showPercent val="0"/>
            <c:showBubbleSize val="0"/>
            <c:showLeaderLines val="1"/>
          </c:dLbls>
          <c:cat>
            <c:strRef>
              <c:f>'Student Data'!$G$10:$G$11</c:f>
            </c:strRef>
          </c:cat>
          <c:val>
            <c:numRef>
              <c:f>'Student Data'!$H$10:$H$11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accent4"/>
                </a:solidFill>
                <a:latin typeface="+mn-lt"/>
              </a:defRPr>
            </a:pPr>
            <a:r>
              <a:rPr b="1">
                <a:solidFill>
                  <a:schemeClr val="accent4"/>
                </a:solidFill>
                <a:latin typeface="+mn-lt"/>
              </a:rPr>
              <a:t>AVERAGE of Marks vs. Subject</a:t>
            </a:r>
          </a:p>
        </c:rich>
      </c:tx>
      <c:overlay val="0"/>
    </c:title>
    <c:plotArea>
      <c:layout/>
      <c:barChart>
        <c:barDir val="col"/>
        <c:ser>
          <c:idx val="0"/>
          <c:order val="0"/>
          <c:tx>
            <c:strRef>
              <c:f>'Pivot Table 1'!$B$1</c:f>
            </c:strRef>
          </c:tx>
          <c:spPr>
            <a:solidFill>
              <a:schemeClr val="accent1"/>
            </a:solidFill>
            <a:ln cmpd="sng">
              <a:solidFill>
                <a:srgbClr val="000000"/>
              </a:solidFill>
              <a:prstDash val="lgDash"/>
            </a:ln>
          </c:spPr>
          <c:cat>
            <c:strRef>
              <c:f>'Pivot Table 1'!$A$2:$A$6</c:f>
            </c:strRef>
          </c:cat>
          <c:val>
            <c:numRef>
              <c:f>'Pivot Table 1'!$B$2:$B$6</c:f>
              <c:numCache/>
            </c:numRef>
          </c:val>
        </c:ser>
        <c:axId val="209678651"/>
        <c:axId val="1188979105"/>
      </c:barChart>
      <c:catAx>
        <c:axId val="209678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Subject</a:t>
                </a:r>
              </a:p>
            </c:rich>
          </c:tx>
          <c:overlay val="0"/>
        </c:title>
        <c:numFmt formatCode="General" sourceLinked="1"/>
        <c:majorTickMark val="none"/>
        <c:minorTickMark val="none"/>
        <c:spPr/>
        <c:txPr>
          <a:bodyPr/>
          <a:lstStyle/>
          <a:p>
            <a:pPr lvl="0">
              <a:defRPr b="0">
                <a:solidFill>
                  <a:srgbClr val="000000"/>
                </a:solidFill>
                <a:latin typeface="+mn-lt"/>
              </a:defRPr>
            </a:pPr>
          </a:p>
        </c:txPr>
        <c:crossAx val="1188979105"/>
      </c:catAx>
      <c:valAx>
        <c:axId val="11889791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Marks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678651"/>
      </c:valAx>
    </c:plotArea>
    <c:legend>
      <c:legendPos val="r"/>
      <c:overlay val="0"/>
      <c:txPr>
        <a:bodyPr/>
        <a:lstStyle/>
        <a:p>
          <a:pPr lvl="0">
            <a:defRPr b="0">
              <a:solidFill>
                <a:srgbClr val="1A1A1A"/>
              </a:solidFill>
              <a:latin typeface="+mn-lt"/>
            </a:defRPr>
          </a:pPr>
        </a:p>
      </c:txPr>
    </c:legend>
    <c:plotVisOnly val="1"/>
  </c:chart>
  <c:spPr>
    <a:solidFill>
      <a:srgbClr val="D0E0E3"/>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771525</xdr:colOff>
      <xdr:row>7</xdr:row>
      <xdr:rowOff>104775</xdr:rowOff>
    </xdr:from>
    <xdr:ext cx="2933700" cy="1809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219075</xdr:colOff>
      <xdr:row>16</xdr:row>
      <xdr:rowOff>47625</xdr:rowOff>
    </xdr:from>
    <xdr:ext cx="2857500" cy="2857500"/>
    <mc:AlternateContent>
      <mc:Choice Requires="sle15">
        <xdr:graphicFrame>
          <xdr:nvGraphicFramePr>
            <xdr:cNvPr id="1" name="Grade_1"/>
            <xdr:cNvGraphicFramePr/>
          </xdr:nvGraphicFramePr>
          <xdr:xfrm>
            <a:off x="0" y="0"/>
            <a:ext cx="0" cy="0"/>
          </xdr:xfrm>
          <a:graphic>
            <a:graphicData uri="http://schemas.microsoft.com/office/drawing/2010/slicer">
              <x3Unk:slicer name="Grad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590550</xdr:colOff>
      <xdr:row>0</xdr:row>
      <xdr:rowOff>114300</xdr:rowOff>
    </xdr:from>
    <xdr:ext cx="4562475" cy="28194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6" sheet="Student Data"/>
  </cacheSource>
  <cacheFields>
    <cacheField name="Student Name" numFmtId="0">
      <sharedItems>
        <s v="John Doe"/>
        <s v="Jane Smith"/>
        <s v="Michael Johnson"/>
        <s v="Emily Davis"/>
        <s v="Chris Brown"/>
        <s v="Jessica Wilson"/>
        <s v="Matthew Moore"/>
        <s v="Amanda Taylor"/>
        <s v="David Anderson"/>
        <s v="Sarah Thomas"/>
        <s v="James Jackson"/>
        <s v="Ashley White"/>
        <s v="Robert Harris"/>
        <s v="Megan Martin"/>
        <s v="William Thompson"/>
      </sharedItems>
    </cacheField>
    <cacheField name="Subject" numFmtId="0">
      <sharedItems>
        <s v="Math"/>
        <s v="History"/>
        <s v="Art"/>
        <s v="Science"/>
        <s v="English"/>
      </sharedItems>
    </cacheField>
    <cacheField name="Marks" numFmtId="0">
      <sharedItems containsSemiMixedTypes="0" containsString="0" containsNumber="1" containsInteger="1">
        <n v="42.0"/>
        <n v="78.0"/>
        <n v="62.0"/>
        <n v="63.0"/>
        <n v="72.0"/>
        <n v="21.0"/>
        <n v="96.0"/>
        <n v="69.0"/>
        <n v="40.0"/>
        <n v="55.0"/>
        <n v="39.0"/>
        <n v="95.0"/>
        <n v="87.0"/>
      </sharedItems>
    </cacheField>
    <cacheField name="Results" numFmtId="0">
      <sharedItems>
        <s v="FAIL"/>
        <s v="PASS"/>
      </sharedItems>
    </cacheField>
    <cacheField name="Grade" numFmtId="0">
      <sharedItems>
        <s v="C"/>
        <s v="B"/>
        <s v="F"/>
        <s v="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7" firstHeaderRow="0" firstDataRow="1" firstDataCol="0"/>
  <pivotFields>
    <pivotField name="Student Name" compact="0" outline="0" multipleItemSelectionAllowed="1" showAll="0">
      <items>
        <item x="0"/>
        <item x="1"/>
        <item x="2"/>
        <item x="3"/>
        <item x="4"/>
        <item x="5"/>
        <item x="6"/>
        <item x="7"/>
        <item x="8"/>
        <item x="9"/>
        <item x="10"/>
        <item x="11"/>
        <item x="12"/>
        <item x="13"/>
        <item x="14"/>
        <item t="default"/>
      </items>
    </pivotField>
    <pivotField name="Subject" axis="axisRow" compact="0" outline="0" multipleItemSelectionAllowed="1" showAll="0" sortType="ascending">
      <items>
        <item x="2"/>
        <item x="4"/>
        <item x="1"/>
        <item x="0"/>
        <item x="3"/>
        <item t="default"/>
      </items>
    </pivotField>
    <pivotField name="Marks" dataField="1" compact="0" outline="0" multipleItemSelectionAllowed="1" showAll="0">
      <items>
        <item x="0"/>
        <item x="1"/>
        <item x="2"/>
        <item x="3"/>
        <item x="4"/>
        <item x="5"/>
        <item x="6"/>
        <item x="7"/>
        <item x="8"/>
        <item x="9"/>
        <item x="10"/>
        <item x="11"/>
        <item x="12"/>
        <item t="default"/>
      </items>
    </pivotField>
    <pivotField name="Results" compact="0" outline="0" multipleItemSelectionAllowed="1" showAll="0">
      <items>
        <item x="0"/>
        <item x="1"/>
        <item t="default"/>
      </items>
    </pivotField>
    <pivotField name="Grade" compact="0" outline="0" multipleItemSelectionAllowed="1" showAll="0">
      <items>
        <item x="0"/>
        <item x="1"/>
        <item x="2"/>
        <item x="3"/>
        <item t="default"/>
      </items>
    </pivotField>
  </pivotFields>
  <rowFields>
    <field x="1"/>
  </rowFields>
  <dataFields>
    <dataField name="AVERAGE of Marks" fld="2"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Grade">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rade_1" cache="SlicerCache_Table_1_Col_5" caption="Grade" rowHeight="247650"/>
</x14:slicers>
</file>

<file path=xl/tables/table1.xml><?xml version="1.0" encoding="utf-8"?>
<table xmlns="http://schemas.openxmlformats.org/spreadsheetml/2006/main" ref="A1:E16" displayName="Table_1" name="Table_1" id="1">
  <autoFilter ref="$A$1:$E$16"/>
  <tableColumns count="5">
    <tableColumn name="Student Name" id="1"/>
    <tableColumn name="Subject" id="2"/>
    <tableColumn name="Marks" id="3"/>
    <tableColumn name="Results" id="4"/>
    <tableColumn name="Grade"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7.13"/>
  </cols>
  <sheetData>
    <row r="1">
      <c r="A1" s="1" t="s">
        <v>0</v>
      </c>
      <c r="B1" s="1" t="s">
        <v>1</v>
      </c>
      <c r="C1" s="1" t="s">
        <v>2</v>
      </c>
      <c r="D1" s="1" t="s">
        <v>3</v>
      </c>
      <c r="E1" s="1" t="s">
        <v>4</v>
      </c>
    </row>
    <row r="2">
      <c r="A2" s="2" t="s">
        <v>5</v>
      </c>
      <c r="B2" s="3" t="s">
        <v>6</v>
      </c>
      <c r="C2" s="3">
        <v>42.0</v>
      </c>
      <c r="D2" s="3" t="str">
        <f t="shared" ref="D2:D16" si="1">if(C2&gt;42,"PASS","FAIL")</f>
        <v>FAIL</v>
      </c>
      <c r="E2" s="3" t="str">
        <f t="shared" ref="E2:E16" si="2">IF(C2&gt;=92,"A",IF(C2&gt;=72,"B",IF(C2&gt;=40,"C","F")))</f>
        <v>C</v>
      </c>
      <c r="G2" s="4" t="s">
        <v>7</v>
      </c>
      <c r="H2" s="5">
        <f>SUM(C2:C16)</f>
        <v>960</v>
      </c>
    </row>
    <row r="3">
      <c r="A3" s="2" t="s">
        <v>8</v>
      </c>
      <c r="B3" s="3" t="s">
        <v>9</v>
      </c>
      <c r="C3" s="3">
        <v>78.0</v>
      </c>
      <c r="D3" s="3" t="str">
        <f t="shared" si="1"/>
        <v>PASS</v>
      </c>
      <c r="E3" s="3" t="str">
        <f t="shared" si="2"/>
        <v>B</v>
      </c>
      <c r="G3" s="4" t="s">
        <v>10</v>
      </c>
      <c r="H3" s="5">
        <f>MAX(C2:C16)</f>
        <v>96</v>
      </c>
    </row>
    <row r="4">
      <c r="A4" s="2" t="s">
        <v>11</v>
      </c>
      <c r="B4" s="3" t="s">
        <v>12</v>
      </c>
      <c r="C4" s="3">
        <v>62.0</v>
      </c>
      <c r="D4" s="3" t="str">
        <f t="shared" si="1"/>
        <v>PASS</v>
      </c>
      <c r="E4" s="3" t="str">
        <f t="shared" si="2"/>
        <v>C</v>
      </c>
      <c r="G4" s="4" t="s">
        <v>13</v>
      </c>
      <c r="H4" s="5">
        <f>MIN(C2:C16)</f>
        <v>21</v>
      </c>
    </row>
    <row r="5">
      <c r="A5" s="2" t="s">
        <v>14</v>
      </c>
      <c r="B5" s="3" t="s">
        <v>6</v>
      </c>
      <c r="C5" s="3">
        <v>63.0</v>
      </c>
      <c r="D5" s="3" t="str">
        <f t="shared" si="1"/>
        <v>PASS</v>
      </c>
      <c r="E5" s="3" t="str">
        <f t="shared" si="2"/>
        <v>C</v>
      </c>
      <c r="G5" s="4" t="s">
        <v>15</v>
      </c>
      <c r="H5" s="5">
        <f>COUNTIF(D:D,"FAIL")</f>
        <v>4</v>
      </c>
    </row>
    <row r="6">
      <c r="A6" s="2" t="s">
        <v>16</v>
      </c>
      <c r="B6" s="3" t="s">
        <v>9</v>
      </c>
      <c r="C6" s="3">
        <v>72.0</v>
      </c>
      <c r="D6" s="3" t="str">
        <f t="shared" si="1"/>
        <v>PASS</v>
      </c>
      <c r="E6" s="3" t="str">
        <f t="shared" si="2"/>
        <v>B</v>
      </c>
      <c r="G6" s="4" t="s">
        <v>17</v>
      </c>
      <c r="H6" s="5">
        <f>AVERAGE(C2:C16)</f>
        <v>64</v>
      </c>
    </row>
    <row r="7">
      <c r="A7" s="2" t="s">
        <v>18</v>
      </c>
      <c r="B7" s="3" t="s">
        <v>19</v>
      </c>
      <c r="C7" s="2">
        <v>21.0</v>
      </c>
      <c r="D7" s="3" t="str">
        <f t="shared" si="1"/>
        <v>FAIL</v>
      </c>
      <c r="E7" s="3" t="str">
        <f t="shared" si="2"/>
        <v>F</v>
      </c>
      <c r="G7" s="4" t="s">
        <v>20</v>
      </c>
      <c r="H7" s="5">
        <f>COUNTIF(D:D,"PASS")</f>
        <v>11</v>
      </c>
    </row>
    <row r="8">
      <c r="A8" s="2" t="s">
        <v>21</v>
      </c>
      <c r="B8" s="3" t="s">
        <v>12</v>
      </c>
      <c r="C8" s="2">
        <v>96.0</v>
      </c>
      <c r="D8" s="3" t="str">
        <f t="shared" si="1"/>
        <v>PASS</v>
      </c>
      <c r="E8" s="3" t="str">
        <f t="shared" si="2"/>
        <v>A</v>
      </c>
    </row>
    <row r="9">
      <c r="A9" s="2" t="s">
        <v>22</v>
      </c>
      <c r="B9" s="3" t="s">
        <v>23</v>
      </c>
      <c r="C9" s="3">
        <v>69.0</v>
      </c>
      <c r="D9" s="3" t="str">
        <f t="shared" si="1"/>
        <v>PASS</v>
      </c>
      <c r="E9" s="3" t="str">
        <f t="shared" si="2"/>
        <v>C</v>
      </c>
    </row>
    <row r="10">
      <c r="A10" s="2" t="s">
        <v>24</v>
      </c>
      <c r="B10" s="3" t="s">
        <v>19</v>
      </c>
      <c r="C10" s="3">
        <v>72.0</v>
      </c>
      <c r="D10" s="3" t="str">
        <f t="shared" si="1"/>
        <v>PASS</v>
      </c>
      <c r="E10" s="3" t="str">
        <f t="shared" si="2"/>
        <v>B</v>
      </c>
      <c r="G10" s="6" t="s">
        <v>25</v>
      </c>
      <c r="H10" s="7">
        <f>COUNTIF(D:D,"PASS")</f>
        <v>11</v>
      </c>
    </row>
    <row r="11">
      <c r="A11" s="2" t="s">
        <v>26</v>
      </c>
      <c r="B11" s="3" t="s">
        <v>6</v>
      </c>
      <c r="C11" s="2">
        <v>40.0</v>
      </c>
      <c r="D11" s="3" t="str">
        <f t="shared" si="1"/>
        <v>FAIL</v>
      </c>
      <c r="E11" s="3" t="str">
        <f t="shared" si="2"/>
        <v>C</v>
      </c>
      <c r="G11" s="6" t="s">
        <v>27</v>
      </c>
      <c r="H11" s="7">
        <f>COUNTIF(D:D,"FAIL")</f>
        <v>4</v>
      </c>
    </row>
    <row r="12">
      <c r="A12" s="2" t="s">
        <v>28</v>
      </c>
      <c r="B12" s="3" t="s">
        <v>19</v>
      </c>
      <c r="C12" s="3">
        <v>55.0</v>
      </c>
      <c r="D12" s="3" t="str">
        <f t="shared" si="1"/>
        <v>PASS</v>
      </c>
      <c r="E12" s="3" t="str">
        <f t="shared" si="2"/>
        <v>C</v>
      </c>
    </row>
    <row r="13">
      <c r="A13" s="2" t="s">
        <v>29</v>
      </c>
      <c r="B13" s="3" t="s">
        <v>6</v>
      </c>
      <c r="C13" s="3">
        <v>69.0</v>
      </c>
      <c r="D13" s="3" t="str">
        <f t="shared" si="1"/>
        <v>PASS</v>
      </c>
      <c r="E13" s="3" t="str">
        <f t="shared" si="2"/>
        <v>C</v>
      </c>
    </row>
    <row r="14">
      <c r="A14" s="2" t="s">
        <v>30</v>
      </c>
      <c r="B14" s="3" t="s">
        <v>23</v>
      </c>
      <c r="C14" s="2">
        <v>39.0</v>
      </c>
      <c r="D14" s="3" t="str">
        <f t="shared" si="1"/>
        <v>FAIL</v>
      </c>
      <c r="E14" s="3" t="str">
        <f t="shared" si="2"/>
        <v>F</v>
      </c>
    </row>
    <row r="15">
      <c r="A15" s="2" t="s">
        <v>31</v>
      </c>
      <c r="B15" s="3" t="s">
        <v>6</v>
      </c>
      <c r="C15" s="2">
        <v>95.0</v>
      </c>
      <c r="D15" s="3" t="str">
        <f t="shared" si="1"/>
        <v>PASS</v>
      </c>
      <c r="E15" s="3" t="str">
        <f t="shared" si="2"/>
        <v>A</v>
      </c>
    </row>
    <row r="16">
      <c r="A16" s="8" t="s">
        <v>32</v>
      </c>
      <c r="B16" s="9" t="s">
        <v>12</v>
      </c>
      <c r="C16" s="9">
        <v>87.0</v>
      </c>
      <c r="D16" s="9" t="str">
        <f t="shared" si="1"/>
        <v>PASS</v>
      </c>
      <c r="E16" s="9" t="str">
        <f t="shared" si="2"/>
        <v>B</v>
      </c>
    </row>
  </sheetData>
  <customSheetViews>
    <customSheetView guid="{09760E48-B89D-4823-8DAE-18D57D6DC729}" filter="1" showAutoFilter="1">
      <autoFilter ref="$A$1:$E$16"/>
    </customSheetView>
  </customSheetViews>
  <conditionalFormatting sqref="A1:E16">
    <cfRule type="containsText" dxfId="1" priority="1" operator="containsText" text="PASS">
      <formula>NOT(ISERROR(SEARCH(("PASS"),(A1))))</formula>
    </cfRule>
  </conditionalFormatting>
  <conditionalFormatting sqref="A1:E16">
    <cfRule type="containsText" dxfId="1" priority="2" operator="containsText" text="PASS">
      <formula>NOT(ISERROR(SEARCH(("PASS"),(A1))))</formula>
    </cfRule>
  </conditionalFormatting>
  <conditionalFormatting sqref="A1:E16">
    <cfRule type="containsText" dxfId="1" priority="3" operator="containsText" text="PASS">
      <formula>NOT(ISERROR(SEARCH(("PASS"),(A1))))</formula>
    </cfRule>
  </conditionalFormatting>
  <conditionalFormatting sqref="A1:E16">
    <cfRule type="containsText" dxfId="2" priority="4" operator="containsText" text="FAIL">
      <formula>NOT(ISERROR(SEARCH(("FAIL"),(A1))))</formula>
    </cfRule>
  </conditionalFormatting>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